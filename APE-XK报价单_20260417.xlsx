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-XK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8">
    <font>
      <name val="Calibri"/>
      <family val="2"/>
      <color theme="1"/>
      <sz val="11"/>
      <scheme val="minor"/>
    </font>
    <font>
      <name val="微软雅黑"/>
      <b val="1"/>
      <color rgb="001E88E5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color rgb="000563C1"/>
      <sz val="9"/>
      <u val="single"/>
    </font>
    <font>
      <name val="微软雅黑"/>
      <b val="1"/>
      <color rgb="00FF0000"/>
      <sz val="12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E88E5"/>
        <bgColor rgb="001E88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0" customWidth="1" min="4" max="4"/>
    <col width="8" customWidth="1" min="5" max="5"/>
    <col width="8" customWidth="1" min="6" max="6"/>
    <col width="14" customWidth="1" min="7" max="7"/>
    <col width="14" customWidth="1" min="8" max="8"/>
    <col width="16" customWidth="1" min="9" max="9"/>
    <col width="40" customWidth="1" min="10" max="10"/>
  </cols>
  <sheetData>
    <row r="1" ht="30" customHeight="1">
      <c r="A1" s="1" t="inlineStr">
        <is>
          <t>配电箱报价单 - APE-XK</t>
        </is>
      </c>
    </row>
    <row r="2">
      <c r="A2" s="2" t="inlineStr">
        <is>
          <t>配电箱名称：APE-XK</t>
        </is>
      </c>
    </row>
    <row r="3">
      <c r="A3" s="2" t="inlineStr">
        <is>
          <t>箱体尺寸：600×800×200mm</t>
        </is>
      </c>
    </row>
    <row r="4">
      <c r="A4" s="2" t="inlineStr">
        <is>
          <t>报价日期：2026年04月17日</t>
        </is>
      </c>
    </row>
    <row r="6">
      <c r="A6" s="3" t="inlineStr">
        <is>
          <t>序号</t>
        </is>
      </c>
      <c r="B6" s="3" t="inlineStr">
        <is>
          <t>元器件名称</t>
        </is>
      </c>
      <c r="C6" s="3" t="inlineStr">
        <is>
          <t>规格型号</t>
        </is>
      </c>
      <c r="D6" s="3" t="inlineStr">
        <is>
          <t>品牌</t>
        </is>
      </c>
      <c r="E6" s="3" t="inlineStr">
        <is>
          <t>数量</t>
        </is>
      </c>
      <c r="F6" s="3" t="inlineStr">
        <is>
          <t>单位</t>
        </is>
      </c>
      <c r="G6" s="3" t="inlineStr">
        <is>
          <t>单价(元)</t>
        </is>
      </c>
      <c r="H6" s="3" t="inlineStr">
        <is>
          <t>小计(元)</t>
        </is>
      </c>
      <c r="I6" s="3" t="inlineStr">
        <is>
          <t>询价来源</t>
        </is>
      </c>
      <c r="J6" s="3" t="inlineStr">
        <is>
          <t>询价链接</t>
        </is>
      </c>
    </row>
    <row r="7">
      <c r="A7" s="4" t="n">
        <v>1</v>
      </c>
      <c r="B7" s="5" t="inlineStr">
        <is>
          <t>进线隔离开关</t>
        </is>
      </c>
      <c r="C7" s="5" t="inlineStr">
        <is>
          <t>iINT 125A 3P</t>
        </is>
      </c>
      <c r="D7" s="5" t="inlineStr">
        <is>
          <t>施耐德</t>
        </is>
      </c>
      <c r="E7" s="4" t="n">
        <v>2</v>
      </c>
      <c r="F7" s="4" t="inlineStr">
        <is>
          <t>个</t>
        </is>
      </c>
      <c r="G7" s="6" t="n">
        <v>563.1</v>
      </c>
      <c r="H7" s="7">
        <f>E7*G7</f>
        <v/>
      </c>
      <c r="I7" s="5" t="inlineStr">
        <is>
          <t>千思买工品仓</t>
        </is>
      </c>
      <c r="J7" s="8" t="inlineStr">
        <is>
          <t>https://www.gpcang.com/Goods/20441.html</t>
        </is>
      </c>
    </row>
    <row r="8">
      <c r="A8" s="4" t="n">
        <v>2</v>
      </c>
      <c r="B8" s="5" t="inlineStr">
        <is>
          <t>消防电源监测模块</t>
        </is>
      </c>
      <c r="C8" s="5" t="inlineStr">
        <is>
          <t>AFPM3-AVM</t>
        </is>
      </c>
      <c r="D8" s="5" t="inlineStr">
        <is>
          <t>安科瑞</t>
        </is>
      </c>
      <c r="E8" s="4" t="n">
        <v>1</v>
      </c>
      <c r="F8" s="4" t="inlineStr">
        <is>
          <t>个</t>
        </is>
      </c>
      <c r="G8" s="6" t="n">
        <v>350</v>
      </c>
      <c r="H8" s="7">
        <f>E8*G8</f>
        <v/>
      </c>
      <c r="I8" s="5" t="inlineStr">
        <is>
          <t>安科瑞官网</t>
        </is>
      </c>
      <c r="J8" s="8" t="inlineStr">
        <is>
          <t>https://www.acrel.cn/cpzx/?type=detail&amp;id=35</t>
        </is>
      </c>
    </row>
    <row r="9">
      <c r="A9" s="4" t="n">
        <v>3</v>
      </c>
      <c r="B9" s="5" t="inlineStr">
        <is>
          <t>电流互感器</t>
        </is>
      </c>
      <c r="C9" s="5" t="inlineStr">
        <is>
          <t>75/5A</t>
        </is>
      </c>
      <c r="D9" s="5" t="inlineStr">
        <is>
          <t>施耐德</t>
        </is>
      </c>
      <c r="E9" s="4" t="n">
        <v>1</v>
      </c>
      <c r="F9" s="4" t="inlineStr">
        <is>
          <t>个</t>
        </is>
      </c>
      <c r="G9" s="6" t="n">
        <v>180</v>
      </c>
      <c r="H9" s="7">
        <f>E9*G9</f>
        <v/>
      </c>
      <c r="I9" s="5" t="inlineStr">
        <is>
          <t>工控猫商城</t>
        </is>
      </c>
      <c r="J9" s="8" t="inlineStr">
        <is>
          <t>https://www.gkmao.com</t>
        </is>
      </c>
    </row>
    <row r="10">
      <c r="A10" s="4" t="n">
        <v>4</v>
      </c>
      <c r="B10" s="5" t="inlineStr">
        <is>
          <t>多功能电力仪表</t>
        </is>
      </c>
      <c r="C10" s="5" t="inlineStr">
        <is>
          <t>DM2350N</t>
        </is>
      </c>
      <c r="D10" s="5" t="inlineStr">
        <is>
          <t>施耐德</t>
        </is>
      </c>
      <c r="E10" s="4" t="n">
        <v>1</v>
      </c>
      <c r="F10" s="4" t="inlineStr">
        <is>
          <t>个</t>
        </is>
      </c>
      <c r="G10" s="6" t="n">
        <v>650</v>
      </c>
      <c r="H10" s="7">
        <f>E10*G10</f>
        <v/>
      </c>
      <c r="I10" s="5" t="inlineStr">
        <is>
          <t>淘宝</t>
        </is>
      </c>
      <c r="J10" s="8" t="inlineStr">
        <is>
          <t>https://mobile-phone.taobao.com/</t>
        </is>
      </c>
    </row>
    <row r="11">
      <c r="A11" s="4" t="n">
        <v>5</v>
      </c>
      <c r="B11" s="5" t="inlineStr">
        <is>
          <t>消防出线断路器</t>
        </is>
      </c>
      <c r="C11" s="5" t="inlineStr">
        <is>
          <t>iC65N-C20A/2P</t>
        </is>
      </c>
      <c r="D11" s="5" t="inlineStr">
        <is>
          <t>施耐德</t>
        </is>
      </c>
      <c r="E11" s="4" t="n">
        <v>12</v>
      </c>
      <c r="F11" s="4" t="inlineStr">
        <is>
          <t>个</t>
        </is>
      </c>
      <c r="G11" s="6" t="n">
        <v>75</v>
      </c>
      <c r="H11" s="7">
        <f>E11*G11</f>
        <v/>
      </c>
      <c r="I11" s="5" t="inlineStr">
        <is>
          <t>工控猫商城</t>
        </is>
      </c>
      <c r="J11" s="8" t="inlineStr">
        <is>
          <t>https://www.gkmao.com</t>
        </is>
      </c>
    </row>
    <row r="12">
      <c r="A12" s="4" t="n">
        <v>6</v>
      </c>
      <c r="B12" s="5" t="inlineStr">
        <is>
          <t>备用断路器</t>
        </is>
      </c>
      <c r="C12" s="5" t="inlineStr">
        <is>
          <t>iC65N-D25A/3P</t>
        </is>
      </c>
      <c r="D12" s="5" t="inlineStr">
        <is>
          <t>施耐德</t>
        </is>
      </c>
      <c r="E12" s="4" t="n">
        <v>1</v>
      </c>
      <c r="F12" s="4" t="inlineStr">
        <is>
          <t>个</t>
        </is>
      </c>
      <c r="G12" s="6" t="n">
        <v>120</v>
      </c>
      <c r="H12" s="7">
        <f>E12*G12</f>
        <v/>
      </c>
      <c r="I12" s="5" t="inlineStr">
        <is>
          <t>工控猫商城</t>
        </is>
      </c>
      <c r="J12" s="8" t="inlineStr">
        <is>
          <t>https://www.gkmao.com</t>
        </is>
      </c>
    </row>
    <row r="13">
      <c r="A13" s="9" t="inlineStr"/>
      <c r="B13" s="10" t="inlineStr">
        <is>
          <t>合计</t>
        </is>
      </c>
      <c r="C13" s="9" t="inlineStr"/>
      <c r="D13" s="9" t="inlineStr"/>
      <c r="E13" s="9" t="inlineStr"/>
      <c r="F13" s="9" t="inlineStr"/>
      <c r="G13" s="9" t="inlineStr"/>
      <c r="H13" s="11">
        <f>SUM(H7:H12)</f>
        <v/>
      </c>
      <c r="I13" s="9" t="inlineStr"/>
      <c r="J13" s="9" t="inlineStr"/>
    </row>
    <row r="15">
      <c r="A15" s="12" t="inlineStr">
        <is>
          <t>询价渠道说明：</t>
        </is>
      </c>
    </row>
    <row r="16">
      <c r="A16" s="2" t="inlineStr">
        <is>
          <t>1. ABB直通车：https://mall.abb.com.cn</t>
        </is>
      </c>
    </row>
    <row r="17">
      <c r="A17" s="2" t="inlineStr">
        <is>
          <t>2. 天工直通车：https://www.titanmatrix.com</t>
        </is>
      </c>
    </row>
    <row r="18">
      <c r="A18" s="2" t="inlineStr">
        <is>
          <t>3. 工控猫商城：https://www.gkmao.com</t>
        </is>
      </c>
    </row>
    <row r="20">
      <c r="A20" s="12" t="inlineStr">
        <is>
          <t>备注：</t>
        </is>
      </c>
    </row>
    <row r="21">
      <c r="A21" s="2" t="inlineStr">
        <is>
          <t>1. 本报价为参考价，实际采购价格以供应商实时报价为准</t>
        </is>
      </c>
    </row>
    <row r="22">
      <c r="A22" s="2" t="inlineStr">
        <is>
          <t>2. 消防电源监测模块采用安科瑞品牌（国产一线），施耐德/ABB无同规格产品</t>
        </is>
      </c>
    </row>
    <row r="23">
      <c r="A23" s="2" t="inlineStr">
        <is>
          <t>3. 多功能电力仪表采用施耐德DM2350N系列（常规参数配置）</t>
        </is>
      </c>
    </row>
    <row r="24">
      <c r="A24" s="2" t="inlineStr">
        <is>
          <t>4. 箱体未计入报价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2026-04-17T02:21:40Z</dcterms:created>
  <dcterms:modified xmlns:dcterms="http://purl.org/dc/terms/" xmlns:xsi="http://www.w3.org/2001/XMLSchema-instance" xsi:type="dcterms:W3CDTF">2026-04-17T02:21:40Z</dcterms:modified>
</cp:coreProperties>
</file>